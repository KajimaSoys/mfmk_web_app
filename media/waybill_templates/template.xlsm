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D:\Programming\mfmk_web_app\media\waybill_templates\"/>
    </mc:Choice>
  </mc:AlternateContent>
  <xr:revisionPtr revIDLastSave="0" documentId="8_{E8E8565E-58F5-4762-87E1-70CFDE82FD38}" xr6:coauthVersionLast="47" xr6:coauthVersionMax="47" xr10:uidLastSave="{00000000-0000-0000-0000-000000000000}"/>
  <bookViews>
    <workbookView xWindow="-5835" yWindow="1965" windowWidth="15660" windowHeight="11385" xr2:uid="{00000000-000D-0000-FFFF-FFFF00000000}"/>
  </bookViews>
  <sheets>
    <sheet name="Waybill" sheetId="2" r:id="rId1"/>
    <sheet name="Итого" sheetId="3" r:id="rId2"/>
  </sheets>
  <definedNames>
    <definedName name="_xlnm._FilterDatabase" localSheetId="0" hidden="1">Waybill!$A$2:$H$52</definedName>
    <definedName name="Шкафы">GET.WORKBOOK(1+0*NOW())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2" l="1"/>
  <c r="K4" i="2"/>
  <c r="K3" i="2"/>
  <c r="K2" i="2"/>
  <c r="A2" i="3"/>
  <c r="B2" i="3"/>
  <c r="L1" i="2" l="1"/>
  <c r="L2" i="2" s="1"/>
  <c r="L3" i="2" s="1"/>
  <c r="C2" i="3"/>
  <c r="E2" i="3" l="1"/>
  <c r="F2" i="3" s="1"/>
  <c r="F3" i="3" s="1"/>
  <c r="L5" i="2"/>
  <c r="L4" i="2"/>
  <c r="E3" i="3" l="1"/>
</calcChain>
</file>

<file path=xl/sharedStrings.xml><?xml version="1.0" encoding="utf-8"?>
<sst xmlns="http://schemas.openxmlformats.org/spreadsheetml/2006/main" count="48" uniqueCount="43">
  <si>
    <t>АШУ40-060-54КП-21ПС1</t>
  </si>
  <si>
    <t>Шкаф управления "Омега"</t>
  </si>
  <si>
    <t>НДС</t>
  </si>
  <si>
    <t>Комплектующие без НДС</t>
  </si>
  <si>
    <t>№</t>
  </si>
  <si>
    <t>Наименование</t>
  </si>
  <si>
    <t>Артикул</t>
  </si>
  <si>
    <t>Производитель</t>
  </si>
  <si>
    <t>Цена без НДС, RUB</t>
  </si>
  <si>
    <t>Скидка, %</t>
  </si>
  <si>
    <t>Кол-во</t>
  </si>
  <si>
    <t>Общая стоимость без НДС, руб</t>
  </si>
  <si>
    <t>Поправка на ветер</t>
  </si>
  <si>
    <t>Евро</t>
  </si>
  <si>
    <t>Комплектующие с НДС</t>
  </si>
  <si>
    <t>USD</t>
  </si>
  <si>
    <t>Итого, с НДС и наценкой</t>
  </si>
  <si>
    <t>Эпарх</t>
  </si>
  <si>
    <t>Наценка</t>
  </si>
  <si>
    <t>Итого с НДС, EUR</t>
  </si>
  <si>
    <t>Поправочный коэффициент</t>
  </si>
  <si>
    <t>Итого с НДС, USD</t>
  </si>
  <si>
    <t>DEK</t>
  </si>
  <si>
    <t>ESQ</t>
  </si>
  <si>
    <t>Unitronics</t>
  </si>
  <si>
    <t>ШУ с УПП</t>
  </si>
  <si>
    <t>Шкаф</t>
  </si>
  <si>
    <t>Цена, руб. с НДС</t>
  </si>
  <si>
    <t>Количество</t>
  </si>
  <si>
    <t>Сумма, руб. с НДС</t>
  </si>
  <si>
    <t>Сумма, евро. с НДС</t>
  </si>
  <si>
    <t>Итого</t>
  </si>
  <si>
    <t>минимум 2,0. СОГЛАСОВЫВАТЬ С ОТП</t>
  </si>
  <si>
    <t>Коэффициент</t>
  </si>
  <si>
    <t>Срок изготовления</t>
  </si>
  <si>
    <t>16 недель</t>
  </si>
  <si>
    <t>Пускорегулирующая аппаратура</t>
  </si>
  <si>
    <t>ПЧ</t>
  </si>
  <si>
    <t>Контроллер</t>
  </si>
  <si>
    <t>Светосигнальная арматура</t>
  </si>
  <si>
    <t>Plastim или аналог</t>
  </si>
  <si>
    <t>Программирование</t>
  </si>
  <si>
    <t>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</si>
</sst>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&quot;р.&quot;"/>
    <numFmt numFmtId="165" formatCode="#,##0.00&quot;р.&quot;"/>
    <numFmt numFmtId="166" formatCode="#,##0\ [$EUR]"/>
    <numFmt numFmtId="167" formatCode="#,##0\ [$USD]"/>
    <numFmt numFmtId="169" formatCode="#,##0\ [$RUB]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name val="Arial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0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/>
    <xf numFmtId="0" fontId="4" fillId="0" borderId="0"/>
    <xf numFmtId="0" fontId="1" fillId="0" borderId="0"/>
    <xf numFmtId="0" fontId="2" fillId="0" borderId="0"/>
    <xf numFmtId="0" fontId="1" fillId="0" borderId="0"/>
    <xf numFmtId="0" fontId="1" fillId="0" borderId="0"/>
  </cellStyleXfs>
  <cellXfs count="68">
    <xf numFmtId="0" fontId="0" fillId="0" borderId="0" xfId="0"/>
    <xf numFmtId="0" fontId="2" fillId="0" borderId="0" xfId="1" applyAlignment="1">
      <alignment horizontal="center"/>
    </xf>
    <xf numFmtId="0" fontId="3" fillId="0" borderId="0" xfId="1" applyFont="1" applyAlignment="1">
      <alignment horizontal="left"/>
    </xf>
    <xf numFmtId="164" fontId="2" fillId="0" borderId="0" xfId="1" applyNumberFormat="1" applyAlignment="1">
      <alignment horizontal="center"/>
    </xf>
    <xf numFmtId="0" fontId="2" fillId="0" borderId="0" xfId="1"/>
    <xf numFmtId="164" fontId="4" fillId="0" borderId="0" xfId="2" applyNumberFormat="1"/>
    <xf numFmtId="0" fontId="5" fillId="0" borderId="1" xfId="1" applyFont="1" applyBorder="1" applyAlignment="1">
      <alignment horizontal="left"/>
    </xf>
    <xf numFmtId="0" fontId="5" fillId="0" borderId="2" xfId="1" applyFont="1" applyBorder="1" applyAlignment="1">
      <alignment horizontal="left"/>
    </xf>
    <xf numFmtId="164" fontId="6" fillId="0" borderId="2" xfId="2" applyNumberFormat="1" applyFont="1" applyBorder="1"/>
    <xf numFmtId="0" fontId="6" fillId="0" borderId="3" xfId="2" applyFont="1" applyBorder="1"/>
    <xf numFmtId="0" fontId="2" fillId="0" borderId="4" xfId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2" fillId="0" borderId="4" xfId="1" applyBorder="1" applyAlignment="1">
      <alignment horizontal="right" vertical="center" wrapText="1"/>
    </xf>
    <xf numFmtId="0" fontId="2" fillId="0" borderId="5" xfId="1" applyBorder="1" applyAlignment="1">
      <alignment horizontal="center" vertical="center" wrapText="1"/>
    </xf>
    <xf numFmtId="0" fontId="5" fillId="0" borderId="6" xfId="1" applyFont="1" applyBorder="1" applyAlignment="1">
      <alignment horizontal="left"/>
    </xf>
    <xf numFmtId="0" fontId="5" fillId="0" borderId="7" xfId="1" applyFont="1" applyBorder="1" applyAlignment="1">
      <alignment horizontal="left"/>
    </xf>
    <xf numFmtId="164" fontId="6" fillId="0" borderId="7" xfId="2" applyNumberFormat="1" applyFont="1" applyBorder="1"/>
    <xf numFmtId="0" fontId="6" fillId="0" borderId="8" xfId="2" applyFont="1" applyBorder="1"/>
    <xf numFmtId="0" fontId="4" fillId="0" borderId="0" xfId="2"/>
    <xf numFmtId="165" fontId="8" fillId="0" borderId="7" xfId="2" applyNumberFormat="1" applyFont="1" applyBorder="1"/>
    <xf numFmtId="0" fontId="8" fillId="0" borderId="8" xfId="2" applyFont="1" applyBorder="1"/>
    <xf numFmtId="166" fontId="9" fillId="0" borderId="7" xfId="2" applyNumberFormat="1" applyFont="1" applyBorder="1" applyAlignment="1">
      <alignment horizontal="right"/>
    </xf>
    <xf numFmtId="0" fontId="9" fillId="0" borderId="8" xfId="2" applyFont="1" applyBorder="1"/>
    <xf numFmtId="0" fontId="5" fillId="0" borderId="9" xfId="1" applyFont="1" applyBorder="1" applyAlignment="1">
      <alignment horizontal="left"/>
    </xf>
    <xf numFmtId="2" fontId="5" fillId="0" borderId="10" xfId="1" applyNumberFormat="1" applyFont="1" applyBorder="1" applyAlignment="1">
      <alignment horizontal="left"/>
    </xf>
    <xf numFmtId="167" fontId="9" fillId="0" borderId="10" xfId="2" applyNumberFormat="1" applyFont="1" applyBorder="1" applyAlignment="1">
      <alignment horizontal="right"/>
    </xf>
    <xf numFmtId="0" fontId="9" fillId="0" borderId="11" xfId="2" applyFont="1" applyBorder="1"/>
    <xf numFmtId="0" fontId="2" fillId="0" borderId="0" xfId="1" applyAlignment="1">
      <alignment vertical="center"/>
    </xf>
    <xf numFmtId="0" fontId="2" fillId="0" borderId="0" xfId="1" applyAlignment="1">
      <alignment horizontal="left" vertical="center"/>
    </xf>
    <xf numFmtId="49" fontId="2" fillId="0" borderId="0" xfId="1" applyNumberFormat="1" applyAlignment="1">
      <alignment horizontal="center"/>
    </xf>
    <xf numFmtId="0" fontId="2" fillId="0" borderId="0" xfId="1" applyAlignment="1">
      <alignment horizontal="center" vertical="center"/>
    </xf>
    <xf numFmtId="164" fontId="2" fillId="0" borderId="0" xfId="1" applyNumberFormat="1" applyAlignment="1">
      <alignment horizontal="right" vertical="center"/>
    </xf>
    <xf numFmtId="0" fontId="2" fillId="0" borderId="0" xfId="2" applyFont="1" applyAlignment="1">
      <alignment horizontal="left"/>
    </xf>
    <xf numFmtId="164" fontId="2" fillId="0" borderId="0" xfId="1" applyNumberFormat="1" applyAlignment="1">
      <alignment horizontal="right"/>
    </xf>
    <xf numFmtId="0" fontId="7" fillId="0" borderId="0" xfId="2" applyFont="1" applyAlignment="1">
      <alignment horizontal="left"/>
    </xf>
    <xf numFmtId="0" fontId="7" fillId="0" borderId="0" xfId="1" applyFont="1" applyAlignment="1">
      <alignment horizontal="left"/>
    </xf>
    <xf numFmtId="0" fontId="2" fillId="0" borderId="0" xfId="1" applyAlignment="1">
      <alignment horizontal="left"/>
    </xf>
    <xf numFmtId="169" fontId="2" fillId="0" borderId="0" xfId="1" applyNumberFormat="1" applyAlignment="1">
      <alignment horizontal="right"/>
    </xf>
    <xf numFmtId="167" fontId="2" fillId="0" borderId="0" xfId="1" applyNumberFormat="1" applyAlignment="1">
      <alignment horizontal="right"/>
    </xf>
    <xf numFmtId="0" fontId="10" fillId="0" borderId="7" xfId="1" applyFont="1" applyBorder="1" applyAlignment="1">
      <alignment horizontal="center"/>
    </xf>
    <xf numFmtId="0" fontId="10" fillId="0" borderId="7" xfId="1" applyFont="1" applyBorder="1" applyAlignment="1">
      <alignment horizontal="left"/>
    </xf>
    <xf numFmtId="164" fontId="10" fillId="0" borderId="7" xfId="1" applyNumberFormat="1" applyFont="1" applyBorder="1" applyAlignment="1">
      <alignment horizontal="right"/>
    </xf>
    <xf numFmtId="0" fontId="10" fillId="0" borderId="0" xfId="1" applyFont="1"/>
    <xf numFmtId="0" fontId="10" fillId="2" borderId="7" xfId="1" applyFont="1" applyFill="1" applyBorder="1" applyAlignment="1">
      <alignment horizontal="center"/>
    </xf>
    <xf numFmtId="0" fontId="11" fillId="2" borderId="7" xfId="1" applyFont="1" applyFill="1" applyBorder="1" applyAlignment="1">
      <alignment horizontal="center"/>
    </xf>
    <xf numFmtId="0" fontId="11" fillId="0" borderId="7" xfId="1" applyFont="1" applyBorder="1" applyAlignment="1">
      <alignment horizontal="center"/>
    </xf>
    <xf numFmtId="0" fontId="11" fillId="0" borderId="7" xfId="1" applyFont="1" applyBorder="1" applyAlignment="1">
      <alignment horizontal="left"/>
    </xf>
    <xf numFmtId="4" fontId="11" fillId="0" borderId="7" xfId="1" applyNumberFormat="1" applyFont="1" applyBorder="1" applyAlignment="1">
      <alignment horizontal="right"/>
    </xf>
    <xf numFmtId="166" fontId="11" fillId="0" borderId="7" xfId="1" applyNumberFormat="1" applyFont="1" applyBorder="1" applyAlignment="1">
      <alignment horizontal="right"/>
    </xf>
    <xf numFmtId="0" fontId="11" fillId="0" borderId="0" xfId="1" applyFont="1"/>
    <xf numFmtId="0" fontId="10" fillId="2" borderId="7" xfId="1" applyFont="1" applyFill="1" applyBorder="1" applyAlignment="1">
      <alignment horizontal="center" vertical="center"/>
    </xf>
    <xf numFmtId="0" fontId="11" fillId="0" borderId="0" xfId="1" applyFont="1" applyAlignment="1">
      <alignment horizontal="center"/>
    </xf>
    <xf numFmtId="0" fontId="11" fillId="0" borderId="0" xfId="1" applyFont="1" applyAlignment="1">
      <alignment horizontal="left"/>
    </xf>
    <xf numFmtId="165" fontId="11" fillId="0" borderId="0" xfId="1" applyNumberFormat="1" applyFont="1" applyAlignment="1">
      <alignment horizontal="right"/>
    </xf>
    <xf numFmtId="165" fontId="11" fillId="0" borderId="7" xfId="1" applyNumberFormat="1" applyFont="1" applyBorder="1" applyAlignment="1">
      <alignment horizontal="center"/>
    </xf>
    <xf numFmtId="0" fontId="12" fillId="0" borderId="0" xfId="1" applyFont="1"/>
    <xf numFmtId="165" fontId="11" fillId="0" borderId="0" xfId="1" applyNumberFormat="1" applyFont="1" applyAlignment="1">
      <alignment horizontal="center"/>
    </xf>
    <xf numFmtId="166" fontId="11" fillId="0" borderId="0" xfId="1" applyNumberFormat="1" applyFont="1" applyAlignment="1">
      <alignment horizontal="right"/>
    </xf>
    <xf numFmtId="2" fontId="11" fillId="2" borderId="7" xfId="1" applyNumberFormat="1" applyFont="1" applyFill="1" applyBorder="1" applyAlignment="1">
      <alignment horizontal="center"/>
    </xf>
    <xf numFmtId="166" fontId="11" fillId="0" borderId="0" xfId="1" applyNumberFormat="1" applyFont="1"/>
    <xf numFmtId="0" fontId="13" fillId="3" borderId="7" xfId="1" applyFont="1" applyFill="1" applyBorder="1" applyAlignment="1">
      <alignment horizontal="center" vertical="center"/>
    </xf>
    <xf numFmtId="0" fontId="13" fillId="3" borderId="7" xfId="1" applyFont="1" applyFill="1" applyBorder="1" applyAlignment="1">
      <alignment horizontal="center"/>
    </xf>
    <xf numFmtId="0" fontId="12" fillId="0" borderId="7" xfId="1" applyFont="1" applyBorder="1"/>
    <xf numFmtId="0" fontId="12" fillId="0" borderId="7" xfId="1" applyFont="1" applyBorder="1" applyAlignment="1">
      <alignment horizontal="center"/>
    </xf>
    <xf numFmtId="165" fontId="10" fillId="0" borderId="0" xfId="1" applyNumberFormat="1" applyFont="1" applyAlignment="1">
      <alignment horizontal="center"/>
    </xf>
    <xf numFmtId="0" fontId="12" fillId="0" borderId="0" xfId="1" applyFont="1" applyAlignment="1">
      <alignment horizontal="center"/>
    </xf>
    <xf numFmtId="164" fontId="11" fillId="0" borderId="0" xfId="1" applyNumberFormat="1" applyFont="1" applyAlignment="1">
      <alignment horizontal="right"/>
    </xf>
    <xf numFmtId="164" fontId="11" fillId="0" borderId="0" xfId="1" applyNumberFormat="1" applyFont="1"/>
  </cellXfs>
  <cellStyles count="7">
    <cellStyle name="Обычный" xfId="0" builtinId="0"/>
    <cellStyle name="Обычный 2" xfId="2" xr:uid="{A4568049-5973-48B9-8718-ABE07F19F67E}"/>
    <cellStyle name="Обычный 2 2" xfId="3" xr:uid="{1FFCB3D3-D120-4CC7-861C-17FB0EF6C1AF}"/>
    <cellStyle name="Обычный 2 3" xfId="5" xr:uid="{07EF71B0-CD83-4E0A-B014-06B606492C62}"/>
    <cellStyle name="Обычный 2 3 6" xfId="6" xr:uid="{100B6332-CF32-4BF2-AB7D-2BAEABB8B497}"/>
    <cellStyle name="Обычный 3 2" xfId="1" xr:uid="{E4F78C80-F239-4694-8CF3-6AC15D58A7A5}"/>
    <cellStyle name="Обычный 3 2 2" xfId="4" xr:uid="{1B700172-4C3F-4423-AFDC-2366F76DF851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5DB67-019E-48B2-A66F-F948E88A3F2C}">
  <sheetPr codeName="Лист24"/>
  <dimension ref="A1:S74"/>
  <sheetViews>
    <sheetView tabSelected="1" zoomScale="85" zoomScaleNormal="85" workbookViewId="0">
      <selection activeCell="L4" sqref="L4"/>
    </sheetView>
  </sheetViews>
  <sheetFormatPr defaultColWidth="9.140625" defaultRowHeight="12.75" x14ac:dyDescent="0.2"/>
  <cols>
    <col min="1" max="1" width="5.28515625" style="1" customWidth="1"/>
    <col min="2" max="2" width="62.5703125" style="36" customWidth="1"/>
    <col min="3" max="3" width="25.7109375" style="29" customWidth="1"/>
    <col min="4" max="4" width="21.5703125" style="1" bestFit="1" customWidth="1"/>
    <col min="5" max="5" width="11" style="3" bestFit="1" customWidth="1"/>
    <col min="6" max="6" width="10.28515625" style="1" bestFit="1" customWidth="1"/>
    <col min="7" max="7" width="7.85546875" style="1" customWidth="1"/>
    <col min="8" max="9" width="13.42578125" style="3" customWidth="1"/>
    <col min="10" max="10" width="36" style="4" customWidth="1"/>
    <col min="11" max="11" width="9.7109375" style="4" customWidth="1"/>
    <col min="12" max="12" width="15.42578125" style="4" bestFit="1" customWidth="1"/>
    <col min="13" max="13" width="28.28515625" style="4" bestFit="1" customWidth="1"/>
    <col min="14" max="16384" width="9.140625" style="4"/>
  </cols>
  <sheetData>
    <row r="1" spans="1:14" ht="15.75" thickBot="1" x14ac:dyDescent="0.3">
      <c r="B1" s="2" t="s">
        <v>0</v>
      </c>
      <c r="C1" s="1" t="s">
        <v>1</v>
      </c>
      <c r="D1" s="1" t="s">
        <v>25</v>
      </c>
      <c r="G1" s="1">
        <v>1</v>
      </c>
      <c r="H1" s="4"/>
      <c r="I1" s="5"/>
      <c r="J1" s="6" t="s">
        <v>2</v>
      </c>
      <c r="K1" s="7">
        <v>1.2</v>
      </c>
      <c r="L1" s="8">
        <f>SUM(I:I)</f>
        <v>0</v>
      </c>
      <c r="M1" s="9" t="s">
        <v>3</v>
      </c>
    </row>
    <row r="2" spans="1:14" s="1" customFormat="1" ht="40.5" customHeight="1" thickBot="1" x14ac:dyDescent="0.3">
      <c r="A2" s="10" t="s">
        <v>4</v>
      </c>
      <c r="B2" s="11" t="s">
        <v>5</v>
      </c>
      <c r="C2" s="10" t="s">
        <v>6</v>
      </c>
      <c r="D2" s="10" t="s">
        <v>7</v>
      </c>
      <c r="E2" s="12" t="s">
        <v>8</v>
      </c>
      <c r="F2" s="10" t="s">
        <v>9</v>
      </c>
      <c r="G2" s="10" t="s">
        <v>10</v>
      </c>
      <c r="H2" s="13" t="s">
        <v>11</v>
      </c>
      <c r="I2" s="13" t="s">
        <v>12</v>
      </c>
      <c r="J2" s="14" t="s">
        <v>13</v>
      </c>
      <c r="K2" s="15">
        <f>Итого!I1</f>
        <v>75</v>
      </c>
      <c r="L2" s="16">
        <f>L1*K1</f>
        <v>0</v>
      </c>
      <c r="M2" s="17" t="s">
        <v>14</v>
      </c>
      <c r="N2" s="18"/>
    </row>
    <row r="3" spans="1:14" s="1" customFormat="1" ht="15" x14ac:dyDescent="0.25">
      <c r="A3" s="4"/>
      <c r="B3" s="4"/>
      <c r="C3" s="4"/>
      <c r="D3" s="4"/>
      <c r="E3" s="4"/>
      <c r="F3" s="4"/>
      <c r="G3" s="4"/>
      <c r="H3" s="4"/>
      <c r="I3" s="4"/>
      <c r="J3" s="14" t="s">
        <v>15</v>
      </c>
      <c r="K3" s="15">
        <f>Итого!I2</f>
        <v>75</v>
      </c>
      <c r="L3" s="19">
        <f>ROUND(L2*K4,0)</f>
        <v>0</v>
      </c>
      <c r="M3" s="20" t="s">
        <v>16</v>
      </c>
      <c r="N3" s="18"/>
    </row>
    <row r="4" spans="1:14" s="1" customFormat="1" ht="15" x14ac:dyDescent="0.25">
      <c r="A4" s="4"/>
      <c r="B4" s="4"/>
      <c r="C4" s="4"/>
      <c r="D4" s="4"/>
      <c r="E4" s="4"/>
      <c r="F4" s="4"/>
      <c r="G4" s="4"/>
      <c r="H4" s="4"/>
      <c r="I4" s="4"/>
      <c r="J4" s="14" t="s">
        <v>18</v>
      </c>
      <c r="K4" s="15">
        <f>Итого!I3</f>
        <v>2.2000000000000002</v>
      </c>
      <c r="L4" s="21">
        <f>L3/K2</f>
        <v>0</v>
      </c>
      <c r="M4" s="22" t="s">
        <v>19</v>
      </c>
      <c r="N4" s="18"/>
    </row>
    <row r="5" spans="1:14" s="1" customFormat="1" ht="15.75" thickBot="1" x14ac:dyDescent="0.3">
      <c r="A5" s="4"/>
      <c r="B5" s="4"/>
      <c r="C5" s="4"/>
      <c r="D5" s="4"/>
      <c r="E5" s="4"/>
      <c r="F5" s="4"/>
      <c r="G5" s="4"/>
      <c r="H5" s="4"/>
      <c r="I5" s="4"/>
      <c r="J5" s="23" t="s">
        <v>20</v>
      </c>
      <c r="K5" s="24">
        <f>Итого!I5</f>
        <v>1</v>
      </c>
      <c r="L5" s="25">
        <f>L3/K3</f>
        <v>0</v>
      </c>
      <c r="M5" s="26" t="s">
        <v>21</v>
      </c>
      <c r="N5" s="4"/>
    </row>
    <row r="6" spans="1:14" x14ac:dyDescent="0.2">
      <c r="A6" s="4"/>
      <c r="B6" s="4"/>
      <c r="C6" s="4"/>
      <c r="D6" s="4"/>
      <c r="E6" s="4"/>
      <c r="F6" s="4"/>
      <c r="G6" s="4"/>
      <c r="H6" s="4"/>
      <c r="I6" s="4"/>
    </row>
    <row r="7" spans="1:14" x14ac:dyDescent="0.2">
      <c r="A7" s="4"/>
      <c r="B7" s="4"/>
      <c r="C7" s="4"/>
      <c r="D7" s="4"/>
      <c r="E7" s="4"/>
      <c r="F7" s="4"/>
      <c r="G7" s="4"/>
      <c r="H7" s="4"/>
      <c r="I7" s="4"/>
    </row>
    <row r="8" spans="1:14" x14ac:dyDescent="0.2">
      <c r="A8" s="4"/>
      <c r="B8" s="4"/>
      <c r="C8" s="4"/>
      <c r="D8" s="4"/>
      <c r="E8" s="4"/>
      <c r="F8" s="4"/>
      <c r="G8" s="4"/>
      <c r="H8" s="4"/>
      <c r="I8" s="4"/>
    </row>
    <row r="9" spans="1:14" x14ac:dyDescent="0.2">
      <c r="A9" s="4"/>
      <c r="B9" s="4"/>
      <c r="C9" s="4"/>
      <c r="D9" s="4"/>
      <c r="E9" s="4"/>
      <c r="F9" s="4"/>
      <c r="G9" s="4"/>
      <c r="H9" s="4"/>
      <c r="I9" s="4"/>
    </row>
    <row r="10" spans="1:14" x14ac:dyDescent="0.2">
      <c r="A10" s="4"/>
      <c r="B10" s="4"/>
      <c r="C10" s="4"/>
      <c r="D10" s="4"/>
      <c r="E10" s="4"/>
      <c r="F10" s="4"/>
      <c r="G10" s="4"/>
      <c r="H10" s="4"/>
      <c r="I10" s="4"/>
    </row>
    <row r="11" spans="1:14" x14ac:dyDescent="0.2">
      <c r="A11" s="4"/>
      <c r="B11" s="4"/>
      <c r="C11" s="4"/>
      <c r="D11" s="4"/>
      <c r="E11" s="4"/>
      <c r="F11" s="4"/>
      <c r="G11" s="4"/>
      <c r="H11" s="4"/>
      <c r="I11" s="4"/>
    </row>
    <row r="12" spans="1:14" x14ac:dyDescent="0.2">
      <c r="A12" s="4"/>
      <c r="B12" s="4"/>
      <c r="C12" s="4"/>
      <c r="D12" s="4"/>
      <c r="E12" s="4"/>
      <c r="F12" s="4"/>
      <c r="G12" s="4"/>
      <c r="H12" s="4"/>
      <c r="I12" s="4"/>
    </row>
    <row r="13" spans="1:14" x14ac:dyDescent="0.2">
      <c r="A13" s="4"/>
      <c r="B13" s="4"/>
      <c r="C13" s="4"/>
      <c r="D13" s="4"/>
      <c r="E13" s="4"/>
      <c r="F13" s="4"/>
      <c r="G13" s="4"/>
      <c r="H13" s="4"/>
      <c r="I13" s="4"/>
    </row>
    <row r="14" spans="1:14" x14ac:dyDescent="0.2">
      <c r="A14" s="4"/>
      <c r="B14" s="4"/>
      <c r="C14" s="4"/>
      <c r="D14" s="4"/>
      <c r="E14" s="4"/>
      <c r="F14" s="4"/>
      <c r="G14" s="4"/>
      <c r="H14" s="4"/>
      <c r="I14" s="4"/>
    </row>
    <row r="15" spans="1:14" x14ac:dyDescent="0.2">
      <c r="A15" s="4"/>
      <c r="B15" s="4"/>
      <c r="C15" s="4"/>
      <c r="D15" s="4"/>
      <c r="E15" s="4"/>
      <c r="F15" s="4"/>
      <c r="G15" s="4"/>
      <c r="H15" s="4"/>
      <c r="I15" s="4"/>
    </row>
    <row r="16" spans="1:14" x14ac:dyDescent="0.2">
      <c r="A16" s="4"/>
      <c r="B16" s="4"/>
      <c r="C16" s="4"/>
      <c r="D16" s="4"/>
      <c r="E16" s="4"/>
      <c r="F16" s="4"/>
      <c r="G16" s="4"/>
      <c r="H16" s="4"/>
      <c r="I16" s="4"/>
    </row>
    <row r="17" spans="1:10" x14ac:dyDescent="0.2">
      <c r="A17" s="4"/>
      <c r="B17" s="4"/>
      <c r="C17" s="4"/>
      <c r="D17" s="4"/>
      <c r="E17" s="4"/>
      <c r="F17" s="4"/>
      <c r="G17" s="4"/>
      <c r="H17" s="4"/>
      <c r="I17" s="4"/>
    </row>
    <row r="18" spans="1:10" x14ac:dyDescent="0.2">
      <c r="A18" s="4"/>
      <c r="B18" s="4"/>
      <c r="C18" s="4"/>
      <c r="D18" s="4"/>
      <c r="E18" s="4"/>
      <c r="F18" s="4"/>
      <c r="G18" s="4"/>
      <c r="H18" s="4"/>
      <c r="I18" s="4"/>
    </row>
    <row r="19" spans="1:10" x14ac:dyDescent="0.2">
      <c r="A19" s="4"/>
      <c r="B19" s="4"/>
      <c r="C19" s="4"/>
      <c r="D19" s="4"/>
      <c r="E19" s="4"/>
      <c r="F19" s="4"/>
      <c r="G19" s="4"/>
      <c r="H19" s="4"/>
      <c r="I19" s="4"/>
    </row>
    <row r="20" spans="1:10" x14ac:dyDescent="0.2">
      <c r="A20" s="4"/>
      <c r="B20" s="4"/>
      <c r="C20" s="4"/>
      <c r="D20" s="4"/>
      <c r="E20" s="4"/>
      <c r="F20" s="4"/>
      <c r="G20" s="4"/>
      <c r="H20" s="4"/>
      <c r="I20" s="4"/>
    </row>
    <row r="21" spans="1:10" x14ac:dyDescent="0.2">
      <c r="A21" s="4"/>
      <c r="B21" s="4"/>
      <c r="C21" s="4"/>
      <c r="D21" s="4"/>
      <c r="E21" s="4"/>
      <c r="F21" s="4"/>
      <c r="G21" s="4"/>
      <c r="H21" s="4"/>
      <c r="I21" s="4"/>
    </row>
    <row r="22" spans="1:10" x14ac:dyDescent="0.2">
      <c r="A22" s="4"/>
      <c r="B22" s="4"/>
      <c r="C22" s="4"/>
      <c r="D22" s="4"/>
      <c r="E22" s="4"/>
      <c r="F22" s="4"/>
      <c r="G22" s="4"/>
      <c r="H22" s="4"/>
      <c r="I22" s="4"/>
    </row>
    <row r="23" spans="1:10" x14ac:dyDescent="0.2">
      <c r="A23" s="4"/>
      <c r="B23" s="4"/>
      <c r="C23" s="4"/>
      <c r="D23" s="4"/>
      <c r="E23" s="4"/>
      <c r="F23" s="4"/>
      <c r="G23" s="4"/>
      <c r="H23" s="4"/>
      <c r="I23" s="4"/>
    </row>
    <row r="24" spans="1:10" x14ac:dyDescent="0.2">
      <c r="A24" s="4"/>
      <c r="B24" s="4"/>
      <c r="C24" s="4"/>
      <c r="D24" s="4"/>
      <c r="E24" s="4"/>
      <c r="F24" s="4"/>
      <c r="G24" s="4"/>
      <c r="H24" s="4"/>
      <c r="I24" s="4"/>
      <c r="J24" s="18"/>
    </row>
    <row r="25" spans="1:10" s="18" customFormat="1" x14ac:dyDescent="0.2">
      <c r="A25" s="4"/>
      <c r="B25" s="4"/>
      <c r="C25" s="4"/>
      <c r="D25" s="4"/>
      <c r="E25" s="4"/>
      <c r="F25" s="4"/>
      <c r="G25" s="4"/>
      <c r="H25" s="4"/>
      <c r="I25" s="4"/>
    </row>
    <row r="26" spans="1:10" s="18" customFormat="1" x14ac:dyDescent="0.2">
      <c r="A26" s="4"/>
      <c r="B26" s="4"/>
      <c r="C26" s="4"/>
      <c r="D26" s="4"/>
      <c r="E26" s="4"/>
      <c r="F26" s="4"/>
      <c r="G26" s="4"/>
      <c r="H26" s="4"/>
      <c r="I26" s="4"/>
    </row>
    <row r="27" spans="1:10" s="18" customFormat="1" x14ac:dyDescent="0.2">
      <c r="A27" s="4"/>
      <c r="B27" s="4"/>
      <c r="C27" s="4"/>
      <c r="D27" s="4"/>
      <c r="E27" s="4"/>
      <c r="F27" s="4"/>
      <c r="G27" s="4"/>
      <c r="H27" s="4"/>
      <c r="I27" s="4"/>
    </row>
    <row r="28" spans="1:10" s="18" customFormat="1" x14ac:dyDescent="0.2">
      <c r="A28" s="4"/>
      <c r="B28" s="4"/>
      <c r="C28" s="4"/>
      <c r="D28" s="4"/>
      <c r="E28" s="4"/>
      <c r="F28" s="4"/>
      <c r="G28" s="4"/>
      <c r="H28" s="4"/>
      <c r="I28" s="4"/>
    </row>
    <row r="29" spans="1:10" s="18" customFormat="1" x14ac:dyDescent="0.2">
      <c r="A29" s="4"/>
      <c r="B29" s="4"/>
      <c r="C29" s="4"/>
      <c r="D29" s="4"/>
      <c r="E29" s="4"/>
      <c r="F29" s="4"/>
      <c r="G29" s="4"/>
      <c r="H29" s="4"/>
      <c r="I29" s="4"/>
    </row>
    <row r="30" spans="1:10" s="18" customFormat="1" x14ac:dyDescent="0.2">
      <c r="A30" s="4"/>
      <c r="B30" s="4"/>
      <c r="C30" s="4"/>
      <c r="D30" s="4"/>
      <c r="E30" s="4"/>
      <c r="F30" s="4"/>
      <c r="G30" s="4"/>
      <c r="H30" s="4"/>
      <c r="I30" s="4"/>
    </row>
    <row r="31" spans="1:10" s="18" customFormat="1" x14ac:dyDescent="0.2">
      <c r="A31" s="4"/>
      <c r="B31" s="4"/>
      <c r="C31" s="4"/>
      <c r="D31" s="4"/>
      <c r="E31" s="4"/>
      <c r="F31" s="4"/>
      <c r="G31" s="4"/>
      <c r="H31" s="4"/>
      <c r="I31" s="4"/>
    </row>
    <row r="32" spans="1:10" s="18" customFormat="1" x14ac:dyDescent="0.2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8" x14ac:dyDescent="0.2">
      <c r="A33" s="4"/>
      <c r="B33" s="4"/>
      <c r="C33" s="4"/>
      <c r="D33" s="4"/>
      <c r="E33" s="4"/>
      <c r="F33" s="4"/>
      <c r="G33" s="4"/>
      <c r="H33" s="4"/>
      <c r="I33" s="4"/>
      <c r="J33" s="18"/>
    </row>
    <row r="34" spans="1:18" s="18" customForma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8" x14ac:dyDescent="0.2">
      <c r="A35" s="4"/>
      <c r="B35" s="4"/>
      <c r="C35" s="4"/>
      <c r="D35" s="4"/>
      <c r="E35" s="4"/>
      <c r="F35" s="4"/>
      <c r="G35" s="4"/>
      <c r="H35" s="4"/>
      <c r="I35" s="4"/>
    </row>
    <row r="36" spans="1:18" x14ac:dyDescent="0.2">
      <c r="A36" s="4"/>
      <c r="B36" s="4"/>
      <c r="C36" s="4"/>
      <c r="D36" s="4"/>
      <c r="E36" s="4"/>
      <c r="F36" s="4"/>
      <c r="G36" s="4"/>
      <c r="H36" s="4"/>
      <c r="I36" s="4"/>
    </row>
    <row r="37" spans="1:18" x14ac:dyDescent="0.2">
      <c r="A37" s="4"/>
      <c r="B37" s="4"/>
      <c r="C37" s="4"/>
      <c r="D37" s="4"/>
      <c r="E37" s="4"/>
      <c r="F37" s="4"/>
      <c r="G37" s="4"/>
      <c r="H37" s="4"/>
      <c r="I37" s="4"/>
    </row>
    <row r="38" spans="1:18" x14ac:dyDescent="0.2">
      <c r="A38" s="4"/>
      <c r="B38" s="4"/>
      <c r="C38" s="4"/>
      <c r="D38" s="4"/>
      <c r="E38" s="4"/>
      <c r="F38" s="4"/>
      <c r="G38" s="4"/>
      <c r="H38" s="4"/>
      <c r="I38" s="4"/>
    </row>
    <row r="39" spans="1:18" x14ac:dyDescent="0.2">
      <c r="A39" s="4"/>
      <c r="B39" s="4"/>
      <c r="C39" s="4"/>
      <c r="D39" s="4"/>
      <c r="E39" s="4"/>
      <c r="F39" s="4"/>
      <c r="G39" s="4"/>
      <c r="H39" s="4"/>
      <c r="I39" s="4"/>
    </row>
    <row r="40" spans="1:18" x14ac:dyDescent="0.2">
      <c r="A40" s="4"/>
      <c r="B40" s="4"/>
      <c r="C40" s="4"/>
      <c r="D40" s="4"/>
      <c r="E40" s="4"/>
      <c r="F40" s="4"/>
      <c r="G40" s="4"/>
      <c r="H40" s="4"/>
      <c r="I40" s="4"/>
    </row>
    <row r="41" spans="1:18" s="18" customForma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</row>
    <row r="42" spans="1:18" x14ac:dyDescent="0.2">
      <c r="A42" s="4"/>
      <c r="B42" s="4"/>
      <c r="C42" s="4"/>
      <c r="D42" s="4"/>
      <c r="E42" s="4"/>
      <c r="F42" s="4"/>
      <c r="G42" s="4"/>
      <c r="H42" s="4"/>
      <c r="I42" s="4"/>
    </row>
    <row r="43" spans="1:18" x14ac:dyDescent="0.2">
      <c r="A43" s="4"/>
      <c r="B43" s="4"/>
      <c r="C43" s="4"/>
      <c r="D43" s="4"/>
      <c r="E43" s="4"/>
      <c r="F43" s="4"/>
      <c r="G43" s="4"/>
      <c r="H43" s="4"/>
      <c r="I43" s="4"/>
    </row>
    <row r="44" spans="1:18" x14ac:dyDescent="0.2">
      <c r="A44" s="4"/>
      <c r="B44" s="4"/>
      <c r="C44" s="4"/>
      <c r="D44" s="4"/>
      <c r="E44" s="4"/>
      <c r="F44" s="4"/>
      <c r="G44" s="4"/>
      <c r="H44" s="4"/>
      <c r="I44" s="4"/>
    </row>
    <row r="45" spans="1:18" x14ac:dyDescent="0.2">
      <c r="A45" s="4"/>
      <c r="B45" s="4"/>
      <c r="C45" s="4"/>
      <c r="D45" s="4"/>
      <c r="E45" s="4"/>
      <c r="F45" s="4"/>
      <c r="G45" s="4"/>
      <c r="H45" s="4"/>
      <c r="I45" s="4"/>
    </row>
    <row r="46" spans="1:18" x14ac:dyDescent="0.2">
      <c r="A46" s="4"/>
      <c r="B46" s="4"/>
      <c r="C46" s="4"/>
      <c r="D46" s="4"/>
      <c r="E46" s="4"/>
      <c r="F46" s="4"/>
      <c r="G46" s="4"/>
      <c r="H46" s="4"/>
      <c r="I46" s="4"/>
    </row>
    <row r="47" spans="1:18" x14ac:dyDescent="0.2">
      <c r="A47" s="4"/>
      <c r="B47" s="4"/>
      <c r="C47" s="4"/>
      <c r="D47" s="4"/>
      <c r="E47" s="4"/>
      <c r="F47" s="4"/>
      <c r="G47" s="4"/>
      <c r="H47" s="4"/>
      <c r="I47" s="4"/>
    </row>
    <row r="48" spans="1:18" x14ac:dyDescent="0.2">
      <c r="A48" s="4"/>
      <c r="B48" s="4"/>
      <c r="C48" s="4"/>
      <c r="D48" s="4"/>
      <c r="E48" s="4"/>
      <c r="F48" s="4"/>
      <c r="G48" s="4"/>
      <c r="H48" s="4"/>
      <c r="I48" s="4"/>
    </row>
    <row r="49" spans="1:9" x14ac:dyDescent="0.2">
      <c r="A49" s="4"/>
      <c r="B49" s="4"/>
      <c r="C49" s="4"/>
      <c r="D49" s="4"/>
      <c r="E49" s="4"/>
      <c r="F49" s="4"/>
      <c r="G49" s="4"/>
      <c r="H49" s="4"/>
      <c r="I49" s="4"/>
    </row>
    <row r="50" spans="1:9" x14ac:dyDescent="0.2">
      <c r="A50" s="4"/>
      <c r="B50" s="4"/>
      <c r="C50" s="4"/>
      <c r="D50" s="4"/>
      <c r="E50" s="4"/>
      <c r="F50" s="4"/>
      <c r="G50" s="4"/>
      <c r="H50" s="4"/>
      <c r="I50" s="4"/>
    </row>
    <row r="51" spans="1:9" x14ac:dyDescent="0.2">
      <c r="A51" s="4"/>
      <c r="B51" s="4"/>
      <c r="C51" s="4"/>
      <c r="D51" s="4"/>
      <c r="E51" s="4"/>
      <c r="F51" s="4"/>
      <c r="G51" s="4"/>
      <c r="H51" s="4"/>
      <c r="I51" s="4"/>
    </row>
    <row r="52" spans="1:9" x14ac:dyDescent="0.2">
      <c r="A52" s="27"/>
      <c r="B52" s="28"/>
      <c r="D52" s="30"/>
      <c r="E52" s="31"/>
      <c r="F52" s="30"/>
      <c r="G52" s="30"/>
      <c r="H52" s="31"/>
      <c r="I52" s="31"/>
    </row>
    <row r="53" spans="1:9" x14ac:dyDescent="0.2">
      <c r="B53" s="32"/>
      <c r="E53" s="33"/>
      <c r="H53" s="33"/>
      <c r="I53" s="33"/>
    </row>
    <row r="54" spans="1:9" x14ac:dyDescent="0.2">
      <c r="B54" s="34"/>
      <c r="E54" s="33"/>
      <c r="H54" s="33"/>
      <c r="I54" s="33"/>
    </row>
    <row r="55" spans="1:9" x14ac:dyDescent="0.2">
      <c r="B55" s="35"/>
      <c r="E55" s="33"/>
      <c r="H55" s="33"/>
      <c r="I55" s="33"/>
    </row>
    <row r="56" spans="1:9" x14ac:dyDescent="0.2">
      <c r="E56" s="33"/>
      <c r="H56" s="33"/>
      <c r="I56" s="33"/>
    </row>
    <row r="57" spans="1:9" x14ac:dyDescent="0.2">
      <c r="E57" s="33"/>
      <c r="H57" s="33"/>
      <c r="I57" s="33"/>
    </row>
    <row r="58" spans="1:9" x14ac:dyDescent="0.2">
      <c r="E58" s="33"/>
      <c r="H58" s="33"/>
      <c r="I58" s="33"/>
    </row>
    <row r="59" spans="1:9" x14ac:dyDescent="0.2">
      <c r="E59" s="33"/>
      <c r="H59" s="33"/>
      <c r="I59" s="33"/>
    </row>
    <row r="60" spans="1:9" x14ac:dyDescent="0.2">
      <c r="E60" s="33"/>
      <c r="H60" s="37"/>
      <c r="I60" s="37"/>
    </row>
    <row r="61" spans="1:9" x14ac:dyDescent="0.2">
      <c r="E61" s="33"/>
      <c r="H61" s="37"/>
      <c r="I61" s="37"/>
    </row>
    <row r="62" spans="1:9" x14ac:dyDescent="0.2">
      <c r="E62" s="33"/>
      <c r="H62" s="38"/>
      <c r="I62" s="38"/>
    </row>
    <row r="63" spans="1:9" x14ac:dyDescent="0.2">
      <c r="E63" s="33"/>
      <c r="H63" s="33"/>
      <c r="I63" s="33"/>
    </row>
    <row r="64" spans="1:9" x14ac:dyDescent="0.2">
      <c r="E64" s="33"/>
      <c r="H64" s="33"/>
      <c r="I64" s="33"/>
    </row>
    <row r="65" spans="2:19" x14ac:dyDescent="0.2">
      <c r="E65" s="33"/>
    </row>
    <row r="66" spans="2:19" x14ac:dyDescent="0.2">
      <c r="E66" s="33"/>
    </row>
    <row r="67" spans="2:19" x14ac:dyDescent="0.2">
      <c r="E67" s="33"/>
    </row>
    <row r="68" spans="2:19" x14ac:dyDescent="0.2">
      <c r="E68" s="33"/>
    </row>
    <row r="69" spans="2:19" x14ac:dyDescent="0.2">
      <c r="E69" s="33"/>
    </row>
    <row r="70" spans="2:19" x14ac:dyDescent="0.2">
      <c r="E70" s="33"/>
    </row>
    <row r="72" spans="2:19" x14ac:dyDescent="0.2">
      <c r="S72" s="1"/>
    </row>
    <row r="74" spans="2:19" s="1" customFormat="1" x14ac:dyDescent="0.2">
      <c r="B74" s="36"/>
      <c r="C74" s="29"/>
      <c r="E74" s="3"/>
      <c r="H74" s="3"/>
      <c r="I74" s="3"/>
      <c r="J74" s="4"/>
      <c r="K74" s="4"/>
      <c r="L74" s="4"/>
      <c r="M74" s="4"/>
      <c r="N74" s="4"/>
      <c r="O74" s="4"/>
      <c r="P74" s="4"/>
      <c r="Q74" s="4"/>
      <c r="R74" s="4"/>
      <c r="S74" s="4"/>
    </row>
  </sheetData>
  <autoFilter ref="A2:H52" xr:uid="{00000000-0009-0000-0000-000000000000}"/>
  <conditionalFormatting sqref="C53:C1048576 C1:C2 C8 C22 C34 C14 C10">
    <cfRule type="duplicateValues" dxfId="17" priority="15"/>
  </conditionalFormatting>
  <conditionalFormatting sqref="C18">
    <cfRule type="duplicateValues" dxfId="16" priority="14"/>
  </conditionalFormatting>
  <conditionalFormatting sqref="D1">
    <cfRule type="duplicateValues" dxfId="15" priority="13"/>
  </conditionalFormatting>
  <conditionalFormatting sqref="C6">
    <cfRule type="duplicateValues" dxfId="14" priority="12"/>
  </conditionalFormatting>
  <conditionalFormatting sqref="C52">
    <cfRule type="duplicateValues" dxfId="13" priority="11"/>
  </conditionalFormatting>
  <conditionalFormatting sqref="C4">
    <cfRule type="duplicateValues" dxfId="12" priority="10"/>
  </conditionalFormatting>
  <conditionalFormatting sqref="C9">
    <cfRule type="duplicateValues" dxfId="11" priority="9"/>
  </conditionalFormatting>
  <conditionalFormatting sqref="C32">
    <cfRule type="duplicateValues" dxfId="10" priority="8"/>
  </conditionalFormatting>
  <conditionalFormatting sqref="C24">
    <cfRule type="duplicateValues" dxfId="9" priority="7"/>
  </conditionalFormatting>
  <conditionalFormatting sqref="C21">
    <cfRule type="duplicateValues" dxfId="8" priority="6"/>
  </conditionalFormatting>
  <conditionalFormatting sqref="C19">
    <cfRule type="duplicateValues" dxfId="7" priority="16"/>
  </conditionalFormatting>
  <conditionalFormatting sqref="C20">
    <cfRule type="duplicateValues" dxfId="6" priority="5"/>
  </conditionalFormatting>
  <conditionalFormatting sqref="C48">
    <cfRule type="duplicateValues" dxfId="5" priority="4"/>
  </conditionalFormatting>
  <conditionalFormatting sqref="C46">
    <cfRule type="duplicateValues" dxfId="4" priority="3"/>
  </conditionalFormatting>
  <conditionalFormatting sqref="C47">
    <cfRule type="duplicateValues" dxfId="3" priority="2"/>
  </conditionalFormatting>
  <conditionalFormatting sqref="C36">
    <cfRule type="duplicateValues" dxfId="2" priority="1"/>
  </conditionalFormatting>
  <pageMargins left="0.75" right="0.75" top="1" bottom="1" header="0.5" footer="0.5"/>
  <pageSetup paperSize="9" orientation="portrait" horizont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FFB1-4984-48C5-B427-1A1D5C5AC1F3}">
  <sheetPr codeName="Лист1"/>
  <dimension ref="A1:L35"/>
  <sheetViews>
    <sheetView zoomScale="85" zoomScaleNormal="85" workbookViewId="0">
      <selection activeCell="F3" sqref="F3"/>
    </sheetView>
  </sheetViews>
  <sheetFormatPr defaultColWidth="9.140625" defaultRowHeight="15.75" x14ac:dyDescent="0.25"/>
  <cols>
    <col min="1" max="1" width="8.7109375" style="51" customWidth="1"/>
    <col min="2" max="2" width="54.7109375" style="52" bestFit="1" customWidth="1"/>
    <col min="3" max="3" width="19.85546875" style="66" bestFit="1" customWidth="1"/>
    <col min="4" max="4" width="14.140625" style="51" bestFit="1" customWidth="1"/>
    <col min="5" max="5" width="22" style="66" bestFit="1" customWidth="1"/>
    <col min="6" max="6" width="23.28515625" style="67" bestFit="1" customWidth="1"/>
    <col min="7" max="7" width="9.140625" style="49"/>
    <col min="8" max="8" width="34.7109375" style="49" customWidth="1"/>
    <col min="9" max="9" width="28.7109375" style="49" bestFit="1" customWidth="1"/>
    <col min="10" max="16384" width="9.140625" style="49"/>
  </cols>
  <sheetData>
    <row r="1" spans="1:12" s="42" customFormat="1" x14ac:dyDescent="0.25">
      <c r="A1" s="39" t="s">
        <v>4</v>
      </c>
      <c r="B1" s="40" t="s">
        <v>26</v>
      </c>
      <c r="C1" s="41" t="s">
        <v>27</v>
      </c>
      <c r="D1" s="39" t="s">
        <v>28</v>
      </c>
      <c r="E1" s="41" t="s">
        <v>29</v>
      </c>
      <c r="F1" s="41" t="s">
        <v>30</v>
      </c>
      <c r="H1" s="43" t="s">
        <v>13</v>
      </c>
      <c r="I1" s="44">
        <v>75</v>
      </c>
    </row>
    <row r="2" spans="1:12" x14ac:dyDescent="0.25">
      <c r="A2" s="45">
        <f>ROW()-1</f>
        <v>1</v>
      </c>
      <c r="B2" s="46" t="str">
        <f ca="1">IF(INDIRECT("'"&amp;INDEX(Шкафы,ROW()-1)&amp;"'!"&amp;"D1")="АШУ40",INDIRECT("'"&amp;INDEX(Шкафы,ROW()-1)&amp;"'!"&amp;"C1")&amp;", "&amp;INDIRECT("'"&amp;INDEX(Шкафы,ROW()-1)&amp;"'!"&amp;"B1"),INDIRECT("'"&amp;INDEX(Шкафы,ROW()-1)&amp;"'!"&amp;"C1")&amp;" "&amp;INDIRECT("'"&amp;INDEX(Шкафы,ROW()-1)&amp;"'!"&amp;"D1")&amp;", "&amp;INDIRECT("'"&amp;INDEX(Шкафы,ROW()-1)&amp;"'!"&amp;"B1"))</f>
        <v>Шкаф управления "Омега" ШУ с УПП, АШУ40-060-54КП-21ПС1</v>
      </c>
      <c r="C2" s="47">
        <f ca="1">ROUND(INDIRECT("'"&amp;INDEX(Шкафы,ROW()-1)&amp;"'!"&amp;"L3"),0)</f>
        <v>0</v>
      </c>
      <c r="D2" s="45">
        <v>1</v>
      </c>
      <c r="E2" s="47">
        <f ca="1">D2 * C2</f>
        <v>0</v>
      </c>
      <c r="F2" s="48">
        <f ca="1">E2 / $I$1</f>
        <v>0</v>
      </c>
      <c r="H2" s="50" t="s">
        <v>15</v>
      </c>
      <c r="I2" s="44">
        <v>75</v>
      </c>
    </row>
    <row r="3" spans="1:12" x14ac:dyDescent="0.25">
      <c r="C3" s="53"/>
      <c r="D3" s="54" t="s">
        <v>31</v>
      </c>
      <c r="E3" s="47">
        <f ca="1">SUM($E$2:OFFSET(E3,-1,0))</f>
        <v>0</v>
      </c>
      <c r="F3" s="48">
        <f ca="1">SUM($F$2:OFFSET(F3,-1,0))</f>
        <v>0</v>
      </c>
      <c r="H3" s="50" t="s">
        <v>18</v>
      </c>
      <c r="I3" s="44">
        <v>2.2000000000000002</v>
      </c>
      <c r="J3" s="55" t="s">
        <v>32</v>
      </c>
      <c r="L3" s="42"/>
    </row>
    <row r="4" spans="1:12" x14ac:dyDescent="0.25">
      <c r="C4" s="53"/>
      <c r="D4" s="56"/>
      <c r="E4" s="53"/>
      <c r="F4" s="57"/>
      <c r="J4" s="42"/>
      <c r="K4" s="42"/>
    </row>
    <row r="5" spans="1:12" x14ac:dyDescent="0.25">
      <c r="C5" s="53"/>
      <c r="D5" s="56"/>
      <c r="E5" s="53"/>
      <c r="F5" s="57"/>
      <c r="H5" s="50" t="s">
        <v>33</v>
      </c>
      <c r="I5" s="58">
        <v>1</v>
      </c>
    </row>
    <row r="6" spans="1:12" x14ac:dyDescent="0.25">
      <c r="C6" s="53"/>
      <c r="D6" s="56"/>
      <c r="E6" s="53"/>
      <c r="F6" s="59"/>
    </row>
    <row r="7" spans="1:12" ht="18.75" x14ac:dyDescent="0.3">
      <c r="C7" s="53"/>
      <c r="D7" s="56"/>
      <c r="E7" s="53"/>
      <c r="F7" s="59"/>
      <c r="H7" s="60" t="s">
        <v>34</v>
      </c>
      <c r="I7" s="61" t="s">
        <v>35</v>
      </c>
    </row>
    <row r="8" spans="1:12" x14ac:dyDescent="0.25">
      <c r="C8" s="53"/>
      <c r="D8" s="56"/>
      <c r="E8" s="53"/>
      <c r="F8" s="59"/>
    </row>
    <row r="9" spans="1:12" x14ac:dyDescent="0.25">
      <c r="C9" s="53"/>
      <c r="D9" s="56"/>
      <c r="E9" s="53"/>
      <c r="F9" s="59"/>
      <c r="H9" s="62" t="s">
        <v>26</v>
      </c>
      <c r="I9" s="63" t="s">
        <v>17</v>
      </c>
    </row>
    <row r="10" spans="1:12" x14ac:dyDescent="0.25">
      <c r="C10" s="53"/>
      <c r="D10" s="56"/>
      <c r="E10" s="53"/>
      <c r="F10" s="59"/>
      <c r="H10" s="62" t="s">
        <v>36</v>
      </c>
      <c r="I10" s="63" t="s">
        <v>22</v>
      </c>
    </row>
    <row r="11" spans="1:12" x14ac:dyDescent="0.25">
      <c r="C11" s="53"/>
      <c r="D11" s="64"/>
      <c r="E11" s="53"/>
      <c r="F11" s="59"/>
      <c r="H11" s="62" t="s">
        <v>37</v>
      </c>
      <c r="I11" s="63" t="s">
        <v>23</v>
      </c>
    </row>
    <row r="12" spans="1:12" x14ac:dyDescent="0.25">
      <c r="C12" s="53"/>
      <c r="D12" s="56"/>
      <c r="E12" s="53"/>
      <c r="F12" s="59"/>
      <c r="H12" s="62" t="s">
        <v>38</v>
      </c>
      <c r="I12" s="63" t="s">
        <v>24</v>
      </c>
    </row>
    <row r="13" spans="1:12" x14ac:dyDescent="0.25">
      <c r="C13" s="53"/>
      <c r="D13" s="56"/>
      <c r="E13" s="53"/>
      <c r="F13" s="59"/>
      <c r="H13" s="62" t="s">
        <v>39</v>
      </c>
      <c r="I13" s="63" t="s">
        <v>40</v>
      </c>
    </row>
    <row r="14" spans="1:12" x14ac:dyDescent="0.25">
      <c r="C14" s="53"/>
      <c r="D14" s="56"/>
      <c r="E14" s="53"/>
      <c r="F14" s="59"/>
      <c r="H14" s="55"/>
      <c r="I14" s="65"/>
    </row>
    <row r="15" spans="1:12" x14ac:dyDescent="0.25">
      <c r="C15" s="53"/>
      <c r="D15" s="56"/>
      <c r="E15" s="53"/>
      <c r="F15" s="59"/>
      <c r="H15" s="55"/>
      <c r="I15" s="65"/>
    </row>
    <row r="16" spans="1:12" x14ac:dyDescent="0.25">
      <c r="C16" s="53"/>
      <c r="F16" s="59"/>
      <c r="H16" s="62" t="s">
        <v>41</v>
      </c>
      <c r="I16" s="63" t="s">
        <v>42</v>
      </c>
    </row>
    <row r="17" spans="3:6" x14ac:dyDescent="0.25">
      <c r="C17" s="53"/>
      <c r="F17" s="59"/>
    </row>
    <row r="18" spans="3:6" x14ac:dyDescent="0.25">
      <c r="C18" s="53"/>
      <c r="F18" s="59"/>
    </row>
    <row r="19" spans="3:6" x14ac:dyDescent="0.25">
      <c r="C19" s="53"/>
      <c r="F19" s="59"/>
    </row>
    <row r="20" spans="3:6" x14ac:dyDescent="0.25">
      <c r="C20" s="53"/>
      <c r="F20" s="59"/>
    </row>
    <row r="21" spans="3:6" x14ac:dyDescent="0.25">
      <c r="C21" s="53"/>
      <c r="F21" s="59"/>
    </row>
    <row r="22" spans="3:6" x14ac:dyDescent="0.25">
      <c r="C22" s="53"/>
      <c r="F22" s="59"/>
    </row>
    <row r="23" spans="3:6" x14ac:dyDescent="0.25">
      <c r="C23" s="53"/>
      <c r="F23" s="59"/>
    </row>
    <row r="24" spans="3:6" x14ac:dyDescent="0.25">
      <c r="C24" s="53"/>
      <c r="F24" s="59"/>
    </row>
    <row r="25" spans="3:6" x14ac:dyDescent="0.25">
      <c r="C25" s="53"/>
      <c r="F25" s="59"/>
    </row>
    <row r="26" spans="3:6" x14ac:dyDescent="0.25">
      <c r="C26" s="53"/>
      <c r="F26" s="59"/>
    </row>
    <row r="27" spans="3:6" x14ac:dyDescent="0.25">
      <c r="C27" s="53"/>
      <c r="F27" s="59"/>
    </row>
    <row r="28" spans="3:6" x14ac:dyDescent="0.25">
      <c r="C28" s="53"/>
      <c r="F28" s="59"/>
    </row>
    <row r="29" spans="3:6" x14ac:dyDescent="0.25">
      <c r="C29" s="53"/>
      <c r="F29" s="59"/>
    </row>
    <row r="30" spans="3:6" x14ac:dyDescent="0.25">
      <c r="C30" s="53"/>
      <c r="F30" s="59"/>
    </row>
    <row r="31" spans="3:6" x14ac:dyDescent="0.25">
      <c r="C31" s="53"/>
      <c r="F31" s="59"/>
    </row>
    <row r="32" spans="3:6" x14ac:dyDescent="0.25">
      <c r="C32" s="53"/>
    </row>
    <row r="33" spans="3:3" x14ac:dyDescent="0.25">
      <c r="C33" s="53"/>
    </row>
    <row r="34" spans="3:3" x14ac:dyDescent="0.25">
      <c r="C34" s="53"/>
    </row>
    <row r="35" spans="3:3" x14ac:dyDescent="0.25">
      <c r="C35" s="53"/>
    </row>
  </sheetData>
  <conditionalFormatting sqref="B26:B1048576 B1:B2">
    <cfRule type="duplicateValues" dxfId="1" priority="1"/>
  </conditionalFormatting>
  <conditionalFormatting sqref="B3:B25">
    <cfRule type="duplicateValues" dxfId="0" priority="2"/>
  </conditionalFormatting>
  <dataValidations disablePrompts="1" count="1">
    <dataValidation type="list" allowBlank="1" showInputMessage="1" showErrorMessage="1" sqref="I7" xr:uid="{B8DE4049-8892-42BD-BF4B-0157EB35BFFF}">
      <formula1>"4 недели, 4-6 недель, 6-8 недель, 8-10 недель, 10-12 недель, 14 недель, 16 недель, 16+ недель,"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Waybill</vt:lpstr>
      <vt:lpstr>Итого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Вадим Гришин</dc:creator>
  <cp:lastModifiedBy>Вадим Гришин</cp:lastModifiedBy>
  <dcterms:created xsi:type="dcterms:W3CDTF">2015-06-05T18:17:20Z</dcterms:created>
  <dcterms:modified xsi:type="dcterms:W3CDTF">2023-02-28T23:35:05Z</dcterms:modified>
</cp:coreProperties>
</file>